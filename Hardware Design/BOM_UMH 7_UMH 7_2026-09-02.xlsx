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<sst xmlns="http://schemas.openxmlformats.org/spreadsheetml/2006/main" count="540" uniqueCount="284">
  <si>
    <t/>
  </si>
  <si>
    <t xml:space="preserve">Bill of Materials </t>
  </si>
  <si>
    <t>BOM_UMH 7_UMH 7_2026-09-08</t>
  </si>
  <si>
    <t>Project Title：</t>
  </si>
  <si>
    <t>UMH Device</t>
  </si>
  <si>
    <t>Variant:</t>
  </si>
  <si>
    <t xml:space="preserve"> </t>
  </si>
  <si>
    <t>Report Time：</t>
  </si>
  <si>
    <t>2026年9月8日 13:11:35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</si>
  <si>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</si>
  <si>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</si>
  <si>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</si>
  <si>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</si>
  <si>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</si>
  <si>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</si>
  <si>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</si>
  <si>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</si>
  <si>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</si>
  <si>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</si>
  <si>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</si>
  <si>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</si>
  <si>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</si>
  <si>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C4, C7, C10, C13, C16, C19, C22, C25, C28, C31, C34, C37, C40, C43, C46, C49, C52, C55, C58, C61, C64, C67, C70, C73, C76, C79, C82, C85, C88, C91, C94, C97, C100, C103, C106, C109, C112, C115, C118, C121, C124, C127, C130, C133, C136, C139, C142, C145, C148, C151, C154, C157, C160, C163, C166, C169, C172, C175, C178, C181, C184, C187, C190, C193, C196, C199, C202, C205, C208, C211, C214, C217, C220, C223, C226, C229, C232, C235, C238, C241, C244, C247, C250, C254, C255, C260, C262, C263, C264, C265, C266, C267, C268, C269, C270, C271, C272, C273, C277, C279, C283, C285, C287, C288, C289, C290, C291, C292, C293, C294, C295, C296, C297, C298, C299, C300, C301, C302, C303, C308, C316, C317, C318, C319</t>
  </si>
  <si>
    <t>C0402</t>
  </si>
  <si>
    <t>CL05B104KB54PNC</t>
  </si>
  <si>
    <t>SAMSUNG(三星)</t>
  </si>
  <si>
    <t>C307331</t>
  </si>
  <si>
    <t>LCSC</t>
  </si>
  <si>
    <t>1uF</t>
  </si>
  <si>
    <t>C2, C5, C8, C11, C14, C17, C20, C23, C26, C29, C32, C35, C38, C41, C44, C47, C50, C53, C56, C59, C62, C65, C68, C71, C74, C77, C80, C83, C86, C89, C92, C95, C98, C101, C104, C107, C110, C113, C116, C119, C122, C125, C128, C131, C134, C137, C140, C143, C146, C149, C152, C155, C158, C161, C164, C167, C170, C173, C176, C179, C182, C185, C188, C191, C194, C197, C200, C203, C206, C209, C212, C215, C218, C221, C224, C227, C230, C233, C236, C239, C242, C245, C248, C251, C274</t>
  </si>
  <si>
    <t>CL05A105KA5NQNC</t>
  </si>
  <si>
    <t>C52923</t>
  </si>
  <si>
    <t>4.7nF</t>
  </si>
  <si>
    <t>C3, C6, C9, C12, C15, C18, C21, C24, C27, C30, C33, C36, C39, C42, C45, C48, C51, C54, C57, C60, C63, C66, C69, C72, C75, C78, C81, C84, C87, C90, C93, C96, C99, C102, C105, C108, C111, C114, C117, C120, C123, C126, C129, C132, C135, C138, C141, C144, C147, C150, C153, C156, C159, C162, C165, C168, C171, C174, C177, C180, C183, C186, C189, C192, C195, C198, C201, C204, C207, C210, C213, C216, C219, C222, C225, C228, C231, C234, C237, C240, C243, C246, C249, C252</t>
  </si>
  <si>
    <t>C1206</t>
  </si>
  <si>
    <t>FM31N472J631EEG</t>
  </si>
  <si>
    <t>PSA(信昌电陶)</t>
  </si>
  <si>
    <t>C1021627</t>
  </si>
  <si>
    <t>10uF</t>
  </si>
  <si>
    <t>C253, C261</t>
  </si>
  <si>
    <t>CAP-SMD_L3.2-W1.6-RD-C7171</t>
  </si>
  <si>
    <t>TAJA106K016RNJ</t>
  </si>
  <si>
    <t>Kyocera AVX</t>
  </si>
  <si>
    <t>C7171</t>
  </si>
  <si>
    <t>47uF</t>
  </si>
  <si>
    <t>C256, C257, C258, C259, C276, C281, C311, C313, C314, C315</t>
  </si>
  <si>
    <t>CAP-SMD_BD6.3-L6.6-W6.6-FD</t>
  </si>
  <si>
    <t>RVT1V470M0605</t>
  </si>
  <si>
    <t>ROQANG(容强)</t>
  </si>
  <si>
    <t>C72522</t>
  </si>
  <si>
    <t>22uF</t>
  </si>
  <si>
    <t>C275</t>
  </si>
  <si>
    <t>C0805</t>
  </si>
  <si>
    <t>CL21A226MAQNNNE</t>
  </si>
  <si>
    <t>C45783</t>
  </si>
  <si>
    <t>C278</t>
  </si>
  <si>
    <t>C0603</t>
  </si>
  <si>
    <t>CL10A226MQ8NRNC</t>
  </si>
  <si>
    <t>C59461</t>
  </si>
  <si>
    <t>22pF</t>
  </si>
  <si>
    <t>C284, C286, C309, C310</t>
  </si>
  <si>
    <t>0402CG220J500NT</t>
  </si>
  <si>
    <t>FH(风华)</t>
  </si>
  <si>
    <t>C1555</t>
  </si>
  <si>
    <t>C304, C305, C312</t>
  </si>
  <si>
    <t>CL10A106MA8NRNC</t>
  </si>
  <si>
    <t>C96446</t>
  </si>
  <si>
    <t>20pF</t>
  </si>
  <si>
    <t>C306, C307</t>
  </si>
  <si>
    <t>0402CG200J500NT</t>
  </si>
  <si>
    <t>C1554</t>
  </si>
  <si>
    <t>ZX-XH2.54-2PWZ</t>
  </si>
  <si>
    <t>CN1</t>
  </si>
  <si>
    <t>CONN-TH_2P-P2.50_ZX-XH2.54-2PWZ</t>
  </si>
  <si>
    <t>Megastar(兆星)</t>
  </si>
  <si>
    <t>C7429641</t>
  </si>
  <si>
    <t>B5819W SL</t>
  </si>
  <si>
    <t>D1, D2, D3</t>
  </si>
  <si>
    <t>SOD-123_L2.7-W1.6-LS3.7-RD-1</t>
  </si>
  <si>
    <t>CJ(江苏长电/长晶)</t>
  </si>
  <si>
    <t>C8598</t>
  </si>
  <si>
    <t>SS34</t>
  </si>
  <si>
    <t>D4</t>
  </si>
  <si>
    <t>SMA_L4.3-W2.6-LS5.2-RD</t>
  </si>
  <si>
    <t>MDD(辰达半导体)</t>
  </si>
  <si>
    <t>C8678</t>
  </si>
  <si>
    <t>2.2mH</t>
  </si>
  <si>
    <t>L1, L2, L3, L4, L5, L6, L7, L8, L9, L10, L11, L12, L13, L14, L15, L16, L17, L18, L19, L20, L21, L22, L23, L24, L25, L26, L27, L28, L29, L30, L31, L32, L33, L34, L35, L36, L37, L38, L39, L40, L41, L42, L43, L44, L45, L46, L47, L48, L49, L50, L51, L52, L53, L54, L55, L56, L57, L58, L59, L60, L61, L62, L63, L64, L65, L66, L67, L68, L69, L70, L71, L72, L73, L74, L75, L76, L77, L78, L79, L80, L81, L82, L83, L84</t>
  </si>
  <si>
    <t>IND-SMD_L4.0-W4.0_ZENR4030T</t>
  </si>
  <si>
    <t>ZENR4030T222M-2.2mH</t>
  </si>
  <si>
    <t>ZE(增益)</t>
  </si>
  <si>
    <t>C42428025</t>
  </si>
  <si>
    <t>BLM18PG121SN1D</t>
  </si>
  <si>
    <t>L85</t>
  </si>
  <si>
    <t>L0603</t>
  </si>
  <si>
    <t>muRata(村田)</t>
  </si>
  <si>
    <t>C14709</t>
  </si>
  <si>
    <t>68uH</t>
  </si>
  <si>
    <t>L86</t>
  </si>
  <si>
    <t>IND-SMD_L5.0-W5.0_FNR50XXS</t>
  </si>
  <si>
    <t>FNR5040S680MT</t>
  </si>
  <si>
    <t>cjiang(长江微电)</t>
  </si>
  <si>
    <t>C167977</t>
  </si>
  <si>
    <t>KT-0603R</t>
  </si>
  <si>
    <t>LED1, LED2, LED3</t>
  </si>
  <si>
    <t>LED-SMD_L1.6-W0.8-R-RD</t>
  </si>
  <si>
    <t>KENTO</t>
  </si>
  <si>
    <t>C2286</t>
  </si>
  <si>
    <t>KT-0805G</t>
  </si>
  <si>
    <t>LED4</t>
  </si>
  <si>
    <t>LED0805-R-RD</t>
  </si>
  <si>
    <t>C2297</t>
  </si>
  <si>
    <t>HS96L03W2C03</t>
  </si>
  <si>
    <t>OLED1</t>
  </si>
  <si>
    <t>OLED-TH_L27.8-W27.2-P2.54_C9900033791</t>
  </si>
  <si>
    <t>HS(汉昇)</t>
  </si>
  <si>
    <t>C5248080</t>
  </si>
  <si>
    <t>33Ω</t>
  </si>
  <si>
    <t>R1, R3, R5, R7, R9, R11, R13, R15, R17, R19, R21, R23, R25, R27, R29, R31, R33, R35, R37, R39, R41, R43, R45, R47, R49, R51, R53, R55, R57, R59, R61, R63, R65, R67, R69, R71, R73, R75, R77, R79, R81, R83, R85, R87, R89, R91, R93, R95, R97, R99, R101, R103, R105, R107, R109, R111, R113, R115, R117, R119, R121, R123, R125, R127, R129, R131, R133, R135, R137, R139, R141, R143, R145, R147, R149, R151, R153, R155, R157, R159, R161, R163, R165, R167</t>
  </si>
  <si>
    <t>R0402</t>
  </si>
  <si>
    <t>0402WGF330JTCE</t>
  </si>
  <si>
    <t>UNI-ROYAL(厚声)</t>
  </si>
  <si>
    <t>C25105</t>
  </si>
  <si>
    <t>10kΩ</t>
  </si>
  <si>
    <t>R2, R4, R6, R8, R10, R12, R14, R16, R18, R20, R22, R24, R26, R28, R30, R32, R34, R36, R38, R40, R42, R44, R46, R48, R50, R52, R54, R56, R58, R60, R62, R64, R66, R68, R70, R72, R74, R76, R78, R80, R82, R84, R86, R88, R90, R92, R94, R96, R98, R100, R102, R104, R106, R108, R110, R112, R114, R116, R118, R120, R122, R124, R126, R128, R130, R132, R134, R136, R138, R140, R142, R144, R146, R148, R150, R152, R154, R156, R158, R160, R162, R164, R166, R168, R172, R173, R174, R177, R180, R181, R182, R185</t>
  </si>
  <si>
    <t>0402WGF1002TCE</t>
  </si>
  <si>
    <t>C25744</t>
  </si>
  <si>
    <t>4.7kΩ</t>
  </si>
  <si>
    <t>R169, R175, R178, R179, R183, R184, R190, R191</t>
  </si>
  <si>
    <t>0402WGF4701TCE</t>
  </si>
  <si>
    <t>C25900</t>
  </si>
  <si>
    <t>22Ω</t>
  </si>
  <si>
    <t>R170, R171, R176, R192, R193, R196, R197</t>
  </si>
  <si>
    <t>0402WGF220JTCE</t>
  </si>
  <si>
    <t>C25092</t>
  </si>
  <si>
    <t>5.1kΩ</t>
  </si>
  <si>
    <t>R186, R187</t>
  </si>
  <si>
    <t>0402WGF5101TCE</t>
  </si>
  <si>
    <t>C25905</t>
  </si>
  <si>
    <t>2.2Ω</t>
  </si>
  <si>
    <t>R188, R189</t>
  </si>
  <si>
    <t>R0603</t>
  </si>
  <si>
    <t>0603WAF220KT5E</t>
  </si>
  <si>
    <t>C22939</t>
  </si>
  <si>
    <t>R194</t>
  </si>
  <si>
    <t>0603WAF4701T5E</t>
  </si>
  <si>
    <t>C23162</t>
  </si>
  <si>
    <t>TS-1187A-B-A-B</t>
  </si>
  <si>
    <t>SW1, SW2, SW3, SW4, SW5</t>
  </si>
  <si>
    <t>SW-SMD_4P-L5.1-W5.1-P3.70-LS6.5-TL_H1.5</t>
  </si>
  <si>
    <t>XKB Connection(中国星坤)</t>
  </si>
  <si>
    <t>C318884</t>
  </si>
  <si>
    <t>M3螺丝</t>
  </si>
  <si>
    <t>TP1, TP2, TP3, TP7, TP8, TP9</t>
  </si>
  <si>
    <t>M3螺栓</t>
  </si>
  <si>
    <t>TP4, TP5, TP6, TP10, TP11, TP12, TP13, TP14, TP15, TP16</t>
  </si>
  <si>
    <t>M2螺栓</t>
  </si>
  <si>
    <t>GU1008C-40TR</t>
  </si>
  <si>
    <t>U1, U3, U5, U7, U9, U11, U13, U15, U17, U19, U21, U23, U25, U27, U29, U31, U33, U35, U37, U39, U41, U43, U45, U47, U49, U51, U53, U55, U57, U59, U61, U63, U65, U67, U69, U71, U73, U75, U77, U79, U81, U83, U85, U87, U89, U91, U93, U95, U97, U99, U101, U103, U105, U107, U109, U111, U113, U115, U117, U119, U121, U123, U125, U127, U129, U131, U133, U135, U137, U139, U141, U143, U145, U147, U149, U151, U153, U155, U157, U159, U161, U163, U165, U167</t>
  </si>
  <si>
    <t>SENSOR-TH_GU10XXC-40TR</t>
  </si>
  <si>
    <t>INGHAi(赢海)</t>
  </si>
  <si>
    <t>C242177</t>
  </si>
  <si>
    <t>DRV8220DSGR</t>
  </si>
  <si>
    <t>U2, U4, U6, U8, U10, U12, U14, U16, U18, U20, U22, U24, U26, U28, U30, U32, U34, U36, U38, U40, U42, U44, U46, U48, U50, U52, U54, U56, U58, U60, U62, U64, U66, U68, U70, U72, U74, U76, U78, U80, U82, U84, U86, U88, U90, U92, U94, U96, U98, U100, U102, U104, U106, U108, U110, U112, U114, U116, U118, U120, U122, U124, U126, U128, U130, U132, U134, U136, U138, U140, U142, U144, U146, U148, U150, U152, U154, U156, U158, U160, U162, U164, U166, U168</t>
  </si>
  <si>
    <t>WSON-8_L2.0-W2.0-P0.50-TL-EP</t>
  </si>
  <si>
    <t>TI(德州仪器)</t>
  </si>
  <si>
    <t>C3681269</t>
  </si>
  <si>
    <t>AMS1117-3.3</t>
  </si>
  <si>
    <t>U169</t>
  </si>
  <si>
    <t>SOT-223-3_L6.5-W3.4-P2.30-LS7.0-BR</t>
  </si>
  <si>
    <t>AMS</t>
  </si>
  <si>
    <t>C6186</t>
  </si>
  <si>
    <t>SS-12D06G5</t>
  </si>
  <si>
    <t>U170</t>
  </si>
  <si>
    <t>SW-TH_SS-12D06G5</t>
  </si>
  <si>
    <t>C2884747</t>
  </si>
  <si>
    <t>XL1509-5.0E1</t>
  </si>
  <si>
    <t>U171</t>
  </si>
  <si>
    <t>SOIC-8_L5.0-W4.0-P1.27-LS6.0-BL</t>
  </si>
  <si>
    <t>XLSEMI(芯龙)</t>
  </si>
  <si>
    <t>C61063</t>
  </si>
  <si>
    <t>DC-044A-A250</t>
  </si>
  <si>
    <t>U172</t>
  </si>
  <si>
    <t>DC-IN-TH_DC-044A-A250</t>
  </si>
  <si>
    <t>XUNPU(讯普)</t>
  </si>
  <si>
    <t>C720576</t>
  </si>
  <si>
    <t>STM32G491KCU6</t>
  </si>
  <si>
    <t>U173</t>
  </si>
  <si>
    <t>UFQFPN-32_L5.0-W5.0-P0.50-BL</t>
  </si>
  <si>
    <t>ST(意法半导体)</t>
  </si>
  <si>
    <t>C5270298</t>
  </si>
  <si>
    <t>-</t>
  </si>
  <si>
    <t>U174</t>
  </si>
  <si>
    <t>SMA-SMD_BWSMA-KE-P001</t>
  </si>
  <si>
    <t>BWSMA-KE-P001</t>
  </si>
  <si>
    <t>BAT WIRELESS(蝙蝠无线)</t>
  </si>
  <si>
    <t>C496550</t>
  </si>
  <si>
    <t>LCMXO2-2000HC-4MG132C</t>
  </si>
  <si>
    <t>U175</t>
  </si>
  <si>
    <t>CSBGA-132_L8.0-W8.0-P0.50-BL_LATTICE_LCMXO640C-4MN132I</t>
  </si>
  <si>
    <t>LATTICE(莱迪思)</t>
  </si>
  <si>
    <t>C1521949</t>
  </si>
  <si>
    <t>HG25Q128M/TR</t>
  </si>
  <si>
    <t>U176</t>
  </si>
  <si>
    <t>SOIC-8_L5.2-W5.2-P1.27-LS8.0-BL</t>
  </si>
  <si>
    <t>HGSEMI(华冠)</t>
  </si>
  <si>
    <t>C5310797</t>
  </si>
  <si>
    <t>GH1.25-4PLT</t>
  </si>
  <si>
    <t>U177, U178</t>
  </si>
  <si>
    <t>CONN-SMD_GH1.25-4PLT</t>
  </si>
  <si>
    <t>C52037397</t>
  </si>
  <si>
    <t>AT24C16</t>
  </si>
  <si>
    <t>U179</t>
  </si>
  <si>
    <t>SOP-8_L5.0-W4.0-P1.27-LS6.0-BL</t>
  </si>
  <si>
    <t>IDCHIP(英锐芯)</t>
  </si>
  <si>
    <t>C561263</t>
  </si>
  <si>
    <t>SPH0641LU4H-1</t>
  </si>
  <si>
    <t>U180, U181, U182, U204</t>
  </si>
  <si>
    <t>MIC-SMD_5P_L3.5-W2.7-P0.82_SPH0641LU4H-1</t>
  </si>
  <si>
    <t>Knowles(楼氏)</t>
  </si>
  <si>
    <t>C2879853</t>
  </si>
  <si>
    <t>1271WV-5P</t>
  </si>
  <si>
    <t>U183, U206, U207, U208, U209, U210, U211, U212, U213, U214, U215, U216, U217, U218, U219, U220, U221, U222, U223, U224</t>
  </si>
  <si>
    <t>HDR-TH_5P-P1.27-V-M</t>
  </si>
  <si>
    <t>HanElectricity(瀚源)</t>
  </si>
  <si>
    <t>C7470081</t>
  </si>
  <si>
    <t>ZX-PM1.27-1-5PU</t>
  </si>
  <si>
    <t>U184, U185, U186, U187, U188, U189, U190, U191, U192, U193, U194, U195, U196, U197, U198, U199, U200, U201, U202, U203</t>
  </si>
  <si>
    <t>HDR-TH_5P-P1.27-V-F</t>
  </si>
  <si>
    <t>C7499358</t>
  </si>
  <si>
    <t>A1257WV-S-6P-LCP</t>
  </si>
  <si>
    <t>U205</t>
  </si>
  <si>
    <t>CONN-SMD_A1257WV-S-6P</t>
  </si>
  <si>
    <t>CJT(长江连接器)</t>
  </si>
  <si>
    <t>C225122</t>
  </si>
  <si>
    <t>SL2.1A</t>
  </si>
  <si>
    <t>U225</t>
  </si>
  <si>
    <t>SOP-16_L10.0-W3.9-P1.27-LS6.0-BL</t>
  </si>
  <si>
    <t>CoreChips(和芯润德)</t>
  </si>
  <si>
    <t>C192893</t>
  </si>
  <si>
    <t>CH347T</t>
  </si>
  <si>
    <t>U226</t>
  </si>
  <si>
    <t>TSSOP-20_L6.5-W4.4-P0.65-LS6.4-BL</t>
  </si>
  <si>
    <t>WCH(南京沁恒)</t>
  </si>
  <si>
    <t>C5122332</t>
  </si>
  <si>
    <t>WS2812C-2020-V6</t>
  </si>
  <si>
    <t>U227, U228, U229, U230</t>
  </si>
  <si>
    <t>LED-SMD_4P-L2.2-W2.0-P1.00_WS2815C-2020-4P</t>
  </si>
  <si>
    <t>worldsemi</t>
  </si>
  <si>
    <t>C55109522</t>
  </si>
  <si>
    <t>TYPEC-304J-BCP16</t>
  </si>
  <si>
    <t>USB1</t>
  </si>
  <si>
    <t>USB-C-SMD_TYPEC-304J-BCP16</t>
  </si>
  <si>
    <t>C2835315</t>
  </si>
  <si>
    <t>10.0 QHHTZB6.3</t>
  </si>
  <si>
    <t>USB2</t>
  </si>
  <si>
    <t>USB-A-TH_10.0QHHTZB6.3</t>
  </si>
  <si>
    <t>SHOU HAN(首韩)</t>
  </si>
  <si>
    <t>C668591</t>
  </si>
  <si>
    <t>8MHz</t>
  </si>
  <si>
    <t>X1, X3</t>
  </si>
  <si>
    <t>CRYSTAL-SMD_4P-L3.2-W2.5-BL</t>
  </si>
  <si>
    <t>X32258MSB4SI</t>
  </si>
  <si>
    <t>YXC(扬兴晶振)</t>
  </si>
  <si>
    <t>C2682774</t>
  </si>
  <si>
    <t>12MHz</t>
  </si>
  <si>
    <t>X2</t>
  </si>
  <si>
    <t>X322512MSB4SI</t>
  </si>
  <si>
    <t>C9002</t>
  </si>
  <si>
    <t>Project Title</t>
  </si>
  <si>
    <t>Borard Title</t>
  </si>
  <si>
    <t>UMH 7</t>
  </si>
  <si>
    <t>Schematic Title</t>
  </si>
  <si>
    <t>PCB Title</t>
  </si>
  <si>
    <t>Variant Name</t>
  </si>
  <si>
    <t>Total Quantity</t>
  </si>
  <si>
    <t>Report Time</t>
  </si>
  <si>
    <t>13:11:35</t>
  </si>
  <si>
    <t>Report Date</t>
  </si>
  <si>
    <t>2026年9月8日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</si>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</sst>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125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85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25</v>
      </c>
      <c r="I8" s="9" t="s">
        <v>31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84</v>
      </c>
      <c r="C9" s="9" t="s">
        <v>32</v>
      </c>
      <c r="D9" s="9" t="s">
        <v>33</v>
      </c>
      <c r="E9" s="9" t="s">
        <v>34</v>
      </c>
      <c r="F9" s="9" t="s">
        <v>32</v>
      </c>
      <c r="G9" s="9" t="s">
        <v>35</v>
      </c>
      <c r="H9" s="9" t="s">
        <v>36</v>
      </c>
      <c r="I9" s="9" t="s">
        <v>37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2</v>
      </c>
      <c r="C10" s="9" t="s">
        <v>38</v>
      </c>
      <c r="D10" s="9" t="s">
        <v>39</v>
      </c>
      <c r="E10" s="9" t="s">
        <v>40</v>
      </c>
      <c r="F10" s="9" t="s">
        <v>38</v>
      </c>
      <c r="G10" s="9" t="s">
        <v>41</v>
      </c>
      <c r="H10" s="9" t="s">
        <v>42</v>
      </c>
      <c r="I10" s="9" t="s">
        <v>43</v>
      </c>
      <c r="J10" s="9" t="s">
        <v>27</v>
      </c>
      <c r="K10" s="9" t="s">
        <v>0</v>
      </c>
    </row>
    <row r="11" spans="1:11" x14ac:dyDescent="0.25">
      <c r="A11" s="8">
        <f>ROW()-6</f>
      </c>
      <c r="B11" s="9">
        <v>10</v>
      </c>
      <c r="C11" s="9" t="s">
        <v>44</v>
      </c>
      <c r="D11" s="9" t="s">
        <v>45</v>
      </c>
      <c r="E11" s="9" t="s">
        <v>46</v>
      </c>
      <c r="F11" s="9" t="s">
        <v>44</v>
      </c>
      <c r="G11" s="9" t="s">
        <v>47</v>
      </c>
      <c r="H11" s="9" t="s">
        <v>48</v>
      </c>
      <c r="I11" s="9" t="s">
        <v>49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1</v>
      </c>
      <c r="C12" s="9" t="s">
        <v>50</v>
      </c>
      <c r="D12" s="9" t="s">
        <v>51</v>
      </c>
      <c r="E12" s="9" t="s">
        <v>52</v>
      </c>
      <c r="F12" s="9" t="s">
        <v>50</v>
      </c>
      <c r="G12" s="9" t="s">
        <v>53</v>
      </c>
      <c r="H12" s="9" t="s">
        <v>25</v>
      </c>
      <c r="I12" s="9" t="s">
        <v>54</v>
      </c>
      <c r="J12" s="9" t="s">
        <v>27</v>
      </c>
      <c r="K12" s="9" t="s">
        <v>0</v>
      </c>
    </row>
    <row r="13" spans="1:11" x14ac:dyDescent="0.25">
      <c r="A13" s="8">
        <f>ROW()-6</f>
      </c>
      <c r="B13" s="9">
        <v>1</v>
      </c>
      <c r="C13" s="9" t="s">
        <v>50</v>
      </c>
      <c r="D13" s="9" t="s">
        <v>55</v>
      </c>
      <c r="E13" s="9" t="s">
        <v>56</v>
      </c>
      <c r="F13" s="9" t="s">
        <v>50</v>
      </c>
      <c r="G13" s="9" t="s">
        <v>57</v>
      </c>
      <c r="H13" s="9" t="s">
        <v>25</v>
      </c>
      <c r="I13" s="9" t="s">
        <v>58</v>
      </c>
      <c r="J13" s="9" t="s">
        <v>27</v>
      </c>
      <c r="K13" s="9" t="s">
        <v>0</v>
      </c>
    </row>
    <row r="14" spans="1:11" x14ac:dyDescent="0.25">
      <c r="A14" s="8">
        <f>ROW()-6</f>
      </c>
      <c r="B14" s="9">
        <v>4</v>
      </c>
      <c r="C14" s="9" t="s">
        <v>59</v>
      </c>
      <c r="D14" s="9" t="s">
        <v>60</v>
      </c>
      <c r="E14" s="9" t="s">
        <v>23</v>
      </c>
      <c r="F14" s="9" t="s">
        <v>59</v>
      </c>
      <c r="G14" s="9" t="s">
        <v>61</v>
      </c>
      <c r="H14" s="9" t="s">
        <v>62</v>
      </c>
      <c r="I14" s="9" t="s">
        <v>63</v>
      </c>
      <c r="J14" s="9" t="s">
        <v>27</v>
      </c>
      <c r="K14" s="9" t="s">
        <v>0</v>
      </c>
    </row>
    <row r="15" spans="1:11" x14ac:dyDescent="0.25">
      <c r="A15" s="8">
        <f>ROW()-6</f>
      </c>
      <c r="B15" s="9">
        <v>3</v>
      </c>
      <c r="C15" s="9" t="s">
        <v>38</v>
      </c>
      <c r="D15" s="9" t="s">
        <v>64</v>
      </c>
      <c r="E15" s="9" t="s">
        <v>56</v>
      </c>
      <c r="F15" s="9" t="s">
        <v>38</v>
      </c>
      <c r="G15" s="9" t="s">
        <v>65</v>
      </c>
      <c r="H15" s="9" t="s">
        <v>25</v>
      </c>
      <c r="I15" s="9" t="s">
        <v>66</v>
      </c>
      <c r="J15" s="9" t="s">
        <v>27</v>
      </c>
      <c r="K15" s="9" t="s">
        <v>0</v>
      </c>
    </row>
    <row r="16" spans="1:11" x14ac:dyDescent="0.25">
      <c r="A16" s="8">
        <f>ROW()-6</f>
      </c>
      <c r="B16" s="9">
        <v>2</v>
      </c>
      <c r="C16" s="9" t="s">
        <v>67</v>
      </c>
      <c r="D16" s="9" t="s">
        <v>68</v>
      </c>
      <c r="E16" s="9" t="s">
        <v>23</v>
      </c>
      <c r="F16" s="9" t="s">
        <v>67</v>
      </c>
      <c r="G16" s="9" t="s">
        <v>69</v>
      </c>
      <c r="H16" s="9" t="s">
        <v>62</v>
      </c>
      <c r="I16" s="9" t="s">
        <v>70</v>
      </c>
      <c r="J16" s="9" t="s">
        <v>27</v>
      </c>
      <c r="K16" s="9" t="s">
        <v>0</v>
      </c>
    </row>
    <row r="17" spans="1:11" x14ac:dyDescent="0.25">
      <c r="A17" s="8">
        <f>ROW()-6</f>
      </c>
      <c r="B17" s="9">
        <v>1</v>
      </c>
      <c r="C17" s="9" t="s">
        <v>71</v>
      </c>
      <c r="D17" s="9" t="s">
        <v>72</v>
      </c>
      <c r="E17" s="9" t="s">
        <v>73</v>
      </c>
      <c r="F17" s="9" t="s">
        <v>0</v>
      </c>
      <c r="G17" s="9" t="s">
        <v>71</v>
      </c>
      <c r="H17" s="9" t="s">
        <v>74</v>
      </c>
      <c r="I17" s="9" t="s">
        <v>75</v>
      </c>
      <c r="J17" s="9" t="s">
        <v>27</v>
      </c>
      <c r="K17" s="9" t="s">
        <v>0</v>
      </c>
    </row>
    <row r="18" spans="1:11" x14ac:dyDescent="0.25">
      <c r="A18" s="8">
        <f>ROW()-6</f>
      </c>
      <c r="B18" s="9">
        <v>3</v>
      </c>
      <c r="C18" s="9" t="s">
        <v>76</v>
      </c>
      <c r="D18" s="9" t="s">
        <v>77</v>
      </c>
      <c r="E18" s="9" t="s">
        <v>78</v>
      </c>
      <c r="F18" s="9" t="s">
        <v>0</v>
      </c>
      <c r="G18" s="9" t="s">
        <v>76</v>
      </c>
      <c r="H18" s="9" t="s">
        <v>79</v>
      </c>
      <c r="I18" s="9" t="s">
        <v>80</v>
      </c>
      <c r="J18" s="9" t="s">
        <v>27</v>
      </c>
      <c r="K18" s="9" t="s">
        <v>0</v>
      </c>
    </row>
    <row r="19" spans="1:11" x14ac:dyDescent="0.25">
      <c r="A19" s="8">
        <f>ROW()-6</f>
      </c>
      <c r="B19" s="9">
        <v>1</v>
      </c>
      <c r="C19" s="9" t="s">
        <v>81</v>
      </c>
      <c r="D19" s="9" t="s">
        <v>82</v>
      </c>
      <c r="E19" s="9" t="s">
        <v>83</v>
      </c>
      <c r="F19" s="9" t="s">
        <v>0</v>
      </c>
      <c r="G19" s="9" t="s">
        <v>81</v>
      </c>
      <c r="H19" s="9" t="s">
        <v>84</v>
      </c>
      <c r="I19" s="9" t="s">
        <v>85</v>
      </c>
      <c r="J19" s="9" t="s">
        <v>27</v>
      </c>
      <c r="K19" s="9" t="s">
        <v>0</v>
      </c>
    </row>
    <row r="20" spans="1:11" x14ac:dyDescent="0.25">
      <c r="A20" s="8">
        <f>ROW()-6</f>
      </c>
      <c r="B20" s="9">
        <v>84</v>
      </c>
      <c r="C20" s="9" t="s">
        <v>86</v>
      </c>
      <c r="D20" s="9" t="s">
        <v>87</v>
      </c>
      <c r="E20" s="9" t="s">
        <v>88</v>
      </c>
      <c r="F20" s="9" t="s">
        <v>86</v>
      </c>
      <c r="G20" s="9" t="s">
        <v>89</v>
      </c>
      <c r="H20" s="9" t="s">
        <v>90</v>
      </c>
      <c r="I20" s="9" t="s">
        <v>91</v>
      </c>
      <c r="J20" s="9" t="s">
        <v>27</v>
      </c>
      <c r="K20" s="9" t="s">
        <v>0</v>
      </c>
    </row>
    <row r="21" spans="1:11" x14ac:dyDescent="0.25">
      <c r="A21" s="8">
        <f>ROW()-6</f>
      </c>
      <c r="B21" s="9">
        <v>1</v>
      </c>
      <c r="C21" s="9" t="s">
        <v>92</v>
      </c>
      <c r="D21" s="9" t="s">
        <v>93</v>
      </c>
      <c r="E21" s="9" t="s">
        <v>94</v>
      </c>
      <c r="F21" s="9" t="s">
        <v>0</v>
      </c>
      <c r="G21" s="9" t="s">
        <v>92</v>
      </c>
      <c r="H21" s="9" t="s">
        <v>95</v>
      </c>
      <c r="I21" s="9" t="s">
        <v>96</v>
      </c>
      <c r="J21" s="9" t="s">
        <v>27</v>
      </c>
      <c r="K21" s="9" t="s">
        <v>0</v>
      </c>
    </row>
    <row r="22" spans="1:11" x14ac:dyDescent="0.25">
      <c r="A22" s="8">
        <f>ROW()-6</f>
      </c>
      <c r="B22" s="9">
        <v>1</v>
      </c>
      <c r="C22" s="9" t="s">
        <v>97</v>
      </c>
      <c r="D22" s="9" t="s">
        <v>98</v>
      </c>
      <c r="E22" s="9" t="s">
        <v>99</v>
      </c>
      <c r="F22" s="9" t="s">
        <v>97</v>
      </c>
      <c r="G22" s="9" t="s">
        <v>100</v>
      </c>
      <c r="H22" s="9" t="s">
        <v>101</v>
      </c>
      <c r="I22" s="9" t="s">
        <v>102</v>
      </c>
      <c r="J22" s="9" t="s">
        <v>27</v>
      </c>
      <c r="K22" s="9" t="s">
        <v>0</v>
      </c>
    </row>
    <row r="23" spans="1:11" x14ac:dyDescent="0.25">
      <c r="A23" s="8">
        <f>ROW()-6</f>
      </c>
      <c r="B23" s="9">
        <v>3</v>
      </c>
      <c r="C23" s="9" t="s">
        <v>103</v>
      </c>
      <c r="D23" s="9" t="s">
        <v>104</v>
      </c>
      <c r="E23" s="9" t="s">
        <v>105</v>
      </c>
      <c r="F23" s="9" t="s">
        <v>0</v>
      </c>
      <c r="G23" s="9" t="s">
        <v>103</v>
      </c>
      <c r="H23" s="9" t="s">
        <v>106</v>
      </c>
      <c r="I23" s="9" t="s">
        <v>107</v>
      </c>
      <c r="J23" s="9" t="s">
        <v>27</v>
      </c>
      <c r="K23" s="9" t="s">
        <v>0</v>
      </c>
    </row>
    <row r="24" spans="1:11" x14ac:dyDescent="0.25">
      <c r="A24" s="8">
        <f>ROW()-6</f>
      </c>
      <c r="B24" s="9">
        <v>1</v>
      </c>
      <c r="C24" s="9" t="s">
        <v>108</v>
      </c>
      <c r="D24" s="9" t="s">
        <v>109</v>
      </c>
      <c r="E24" s="9" t="s">
        <v>110</v>
      </c>
      <c r="F24" s="9" t="s">
        <v>0</v>
      </c>
      <c r="G24" s="9" t="s">
        <v>108</v>
      </c>
      <c r="H24" s="9" t="s">
        <v>106</v>
      </c>
      <c r="I24" s="9" t="s">
        <v>111</v>
      </c>
      <c r="J24" s="9" t="s">
        <v>27</v>
      </c>
      <c r="K24" s="9" t="s">
        <v>0</v>
      </c>
    </row>
    <row r="25" spans="1:11" x14ac:dyDescent="0.25">
      <c r="A25" s="8">
        <f>ROW()-6</f>
      </c>
      <c r="B25" s="9">
        <v>1</v>
      </c>
      <c r="C25" s="9" t="s">
        <v>112</v>
      </c>
      <c r="D25" s="9" t="s">
        <v>113</v>
      </c>
      <c r="E25" s="9" t="s">
        <v>114</v>
      </c>
      <c r="F25" s="9" t="s">
        <v>0</v>
      </c>
      <c r="G25" s="9" t="s">
        <v>112</v>
      </c>
      <c r="H25" s="9" t="s">
        <v>115</v>
      </c>
      <c r="I25" s="9" t="s">
        <v>116</v>
      </c>
      <c r="J25" s="9" t="s">
        <v>27</v>
      </c>
      <c r="K25" s="9" t="s">
        <v>0</v>
      </c>
    </row>
    <row r="26" spans="1:11" x14ac:dyDescent="0.25">
      <c r="A26" s="8">
        <f>ROW()-6</f>
      </c>
      <c r="B26" s="9">
        <v>84</v>
      </c>
      <c r="C26" s="9" t="s">
        <v>117</v>
      </c>
      <c r="D26" s="9" t="s">
        <v>118</v>
      </c>
      <c r="E26" s="9" t="s">
        <v>119</v>
      </c>
      <c r="F26" s="9" t="s">
        <v>117</v>
      </c>
      <c r="G26" s="9" t="s">
        <v>120</v>
      </c>
      <c r="H26" s="9" t="s">
        <v>121</v>
      </c>
      <c r="I26" s="9" t="s">
        <v>122</v>
      </c>
      <c r="J26" s="9" t="s">
        <v>27</v>
      </c>
      <c r="K26" s="9" t="s">
        <v>0</v>
      </c>
    </row>
    <row r="27" spans="1:11" x14ac:dyDescent="0.25">
      <c r="A27" s="8">
        <f>ROW()-6</f>
      </c>
      <c r="B27" s="9">
        <v>92</v>
      </c>
      <c r="C27" s="9" t="s">
        <v>123</v>
      </c>
      <c r="D27" s="9" t="s">
        <v>124</v>
      </c>
      <c r="E27" s="9" t="s">
        <v>119</v>
      </c>
      <c r="F27" s="9" t="s">
        <v>123</v>
      </c>
      <c r="G27" s="9" t="s">
        <v>125</v>
      </c>
      <c r="H27" s="9" t="s">
        <v>121</v>
      </c>
      <c r="I27" s="9" t="s">
        <v>126</v>
      </c>
      <c r="J27" s="9" t="s">
        <v>27</v>
      </c>
      <c r="K27" s="9" t="s">
        <v>0</v>
      </c>
    </row>
    <row r="28" spans="1:11" x14ac:dyDescent="0.25">
      <c r="A28" s="8">
        <f>ROW()-6</f>
      </c>
      <c r="B28" s="9">
        <v>8</v>
      </c>
      <c r="C28" s="9" t="s">
        <v>127</v>
      </c>
      <c r="D28" s="9" t="s">
        <v>128</v>
      </c>
      <c r="E28" s="9" t="s">
        <v>119</v>
      </c>
      <c r="F28" s="9" t="s">
        <v>127</v>
      </c>
      <c r="G28" s="9" t="s">
        <v>129</v>
      </c>
      <c r="H28" s="9" t="s">
        <v>121</v>
      </c>
      <c r="I28" s="9" t="s">
        <v>130</v>
      </c>
      <c r="J28" s="9" t="s">
        <v>27</v>
      </c>
      <c r="K28" s="9" t="s">
        <v>0</v>
      </c>
    </row>
    <row r="29" spans="1:11" x14ac:dyDescent="0.25">
      <c r="A29" s="8">
        <f>ROW()-6</f>
      </c>
      <c r="B29" s="9">
        <v>7</v>
      </c>
      <c r="C29" s="9" t="s">
        <v>131</v>
      </c>
      <c r="D29" s="9" t="s">
        <v>132</v>
      </c>
      <c r="E29" s="9" t="s">
        <v>119</v>
      </c>
      <c r="F29" s="9" t="s">
        <v>131</v>
      </c>
      <c r="G29" s="9" t="s">
        <v>133</v>
      </c>
      <c r="H29" s="9" t="s">
        <v>121</v>
      </c>
      <c r="I29" s="9" t="s">
        <v>134</v>
      </c>
      <c r="J29" s="9" t="s">
        <v>27</v>
      </c>
      <c r="K29" s="9" t="s">
        <v>0</v>
      </c>
    </row>
    <row r="30" spans="1:11" x14ac:dyDescent="0.25">
      <c r="A30" s="8">
        <f>ROW()-6</f>
      </c>
      <c r="B30" s="9">
        <v>2</v>
      </c>
      <c r="C30" s="9" t="s">
        <v>135</v>
      </c>
      <c r="D30" s="9" t="s">
        <v>136</v>
      </c>
      <c r="E30" s="9" t="s">
        <v>119</v>
      </c>
      <c r="F30" s="9" t="s">
        <v>135</v>
      </c>
      <c r="G30" s="9" t="s">
        <v>137</v>
      </c>
      <c r="H30" s="9" t="s">
        <v>121</v>
      </c>
      <c r="I30" s="9" t="s">
        <v>138</v>
      </c>
      <c r="J30" s="9" t="s">
        <v>27</v>
      </c>
      <c r="K30" s="9" t="s">
        <v>0</v>
      </c>
    </row>
    <row r="31" spans="1:11" x14ac:dyDescent="0.25">
      <c r="A31" s="8">
        <f>ROW()-6</f>
      </c>
      <c r="B31" s="9">
        <v>2</v>
      </c>
      <c r="C31" s="9" t="s">
        <v>139</v>
      </c>
      <c r="D31" s="9" t="s">
        <v>140</v>
      </c>
      <c r="E31" s="9" t="s">
        <v>141</v>
      </c>
      <c r="F31" s="9" t="s">
        <v>139</v>
      </c>
      <c r="G31" s="9" t="s">
        <v>142</v>
      </c>
      <c r="H31" s="9" t="s">
        <v>121</v>
      </c>
      <c r="I31" s="9" t="s">
        <v>143</v>
      </c>
      <c r="J31" s="9" t="s">
        <v>27</v>
      </c>
      <c r="K31" s="9" t="s">
        <v>0</v>
      </c>
    </row>
    <row r="32" spans="1:11" x14ac:dyDescent="0.25">
      <c r="A32" s="8">
        <f>ROW()-6</f>
      </c>
      <c r="B32" s="9">
        <v>1</v>
      </c>
      <c r="C32" s="9" t="s">
        <v>127</v>
      </c>
      <c r="D32" s="9" t="s">
        <v>144</v>
      </c>
      <c r="E32" s="9" t="s">
        <v>141</v>
      </c>
      <c r="F32" s="9" t="s">
        <v>127</v>
      </c>
      <c r="G32" s="9" t="s">
        <v>145</v>
      </c>
      <c r="H32" s="9" t="s">
        <v>121</v>
      </c>
      <c r="I32" s="9" t="s">
        <v>146</v>
      </c>
      <c r="J32" s="9" t="s">
        <v>27</v>
      </c>
      <c r="K32" s="9" t="s">
        <v>0</v>
      </c>
    </row>
    <row r="33" spans="1:11" x14ac:dyDescent="0.25">
      <c r="A33" s="8">
        <f>ROW()-6</f>
      </c>
      <c r="B33" s="9">
        <v>5</v>
      </c>
      <c r="C33" s="9" t="s">
        <v>147</v>
      </c>
      <c r="D33" s="9" t="s">
        <v>148</v>
      </c>
      <c r="E33" s="9" t="s">
        <v>149</v>
      </c>
      <c r="F33" s="9" t="s">
        <v>0</v>
      </c>
      <c r="G33" s="9" t="s">
        <v>147</v>
      </c>
      <c r="H33" s="9" t="s">
        <v>150</v>
      </c>
      <c r="I33" s="9" t="s">
        <v>151</v>
      </c>
      <c r="J33" s="9" t="s">
        <v>27</v>
      </c>
      <c r="K33" s="9" t="s">
        <v>0</v>
      </c>
    </row>
    <row r="34" spans="1:11" x14ac:dyDescent="0.25">
      <c r="A34" s="8">
        <f>ROW()-6</f>
      </c>
      <c r="B34" s="9">
        <v>6</v>
      </c>
      <c r="C34" s="9" t="s">
        <v>152</v>
      </c>
      <c r="D34" s="9" t="s">
        <v>153</v>
      </c>
      <c r="E34" s="9" t="s">
        <v>154</v>
      </c>
      <c r="F34" s="9" t="s">
        <v>0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</row>
    <row r="35" spans="1:11" x14ac:dyDescent="0.25">
      <c r="A35" s="8">
        <f>ROW()-6</f>
      </c>
      <c r="B35" s="9">
        <v>10</v>
      </c>
      <c r="C35" s="9" t="s">
        <v>152</v>
      </c>
      <c r="D35" s="9" t="s">
        <v>155</v>
      </c>
      <c r="E35" s="9" t="s">
        <v>156</v>
      </c>
      <c r="F35" s="9" t="s">
        <v>0</v>
      </c>
      <c r="G35" s="9" t="s">
        <v>0</v>
      </c>
      <c r="H35" s="9" t="s">
        <v>0</v>
      </c>
      <c r="I35" s="9" t="s">
        <v>0</v>
      </c>
      <c r="J35" s="9" t="s">
        <v>0</v>
      </c>
      <c r="K35" s="9" t="s">
        <v>0</v>
      </c>
    </row>
    <row r="36" spans="1:11" x14ac:dyDescent="0.25">
      <c r="A36" s="8">
        <f>ROW()-6</f>
      </c>
      <c r="B36" s="9">
        <v>84</v>
      </c>
      <c r="C36" s="9" t="s">
        <v>157</v>
      </c>
      <c r="D36" s="9" t="s">
        <v>158</v>
      </c>
      <c r="E36" s="9" t="s">
        <v>159</v>
      </c>
      <c r="F36" s="9" t="s">
        <v>0</v>
      </c>
      <c r="G36" s="9" t="s">
        <v>157</v>
      </c>
      <c r="H36" s="9" t="s">
        <v>160</v>
      </c>
      <c r="I36" s="9" t="s">
        <v>161</v>
      </c>
      <c r="J36" s="9" t="s">
        <v>27</v>
      </c>
      <c r="K36" s="9" t="s">
        <v>0</v>
      </c>
    </row>
    <row r="37" spans="1:11" x14ac:dyDescent="0.25">
      <c r="A37" s="8">
        <f>ROW()-6</f>
      </c>
      <c r="B37" s="9">
        <v>84</v>
      </c>
      <c r="C37" s="9" t="s">
        <v>162</v>
      </c>
      <c r="D37" s="9" t="s">
        <v>163</v>
      </c>
      <c r="E37" s="9" t="s">
        <v>164</v>
      </c>
      <c r="F37" s="9" t="s">
        <v>0</v>
      </c>
      <c r="G37" s="9" t="s">
        <v>162</v>
      </c>
      <c r="H37" s="9" t="s">
        <v>165</v>
      </c>
      <c r="I37" s="9" t="s">
        <v>166</v>
      </c>
      <c r="J37" s="9" t="s">
        <v>27</v>
      </c>
      <c r="K37" s="9" t="s">
        <v>0</v>
      </c>
    </row>
    <row r="38" spans="1:11" x14ac:dyDescent="0.25">
      <c r="A38" s="8">
        <f>ROW()-6</f>
      </c>
      <c r="B38" s="9">
        <v>1</v>
      </c>
      <c r="C38" s="9" t="s">
        <v>167</v>
      </c>
      <c r="D38" s="9" t="s">
        <v>168</v>
      </c>
      <c r="E38" s="9" t="s">
        <v>169</v>
      </c>
      <c r="F38" s="9" t="s">
        <v>0</v>
      </c>
      <c r="G38" s="9" t="s">
        <v>167</v>
      </c>
      <c r="H38" s="9" t="s">
        <v>170</v>
      </c>
      <c r="I38" s="9" t="s">
        <v>171</v>
      </c>
      <c r="J38" s="9" t="s">
        <v>27</v>
      </c>
      <c r="K38" s="9" t="s">
        <v>0</v>
      </c>
    </row>
    <row r="39" spans="1:11" x14ac:dyDescent="0.25">
      <c r="A39" s="8">
        <f>ROW()-6</f>
      </c>
      <c r="B39" s="9">
        <v>1</v>
      </c>
      <c r="C39" s="9" t="s">
        <v>172</v>
      </c>
      <c r="D39" s="9" t="s">
        <v>173</v>
      </c>
      <c r="E39" s="9" t="s">
        <v>174</v>
      </c>
      <c r="F39" s="9" t="s">
        <v>0</v>
      </c>
      <c r="G39" s="9" t="s">
        <v>172</v>
      </c>
      <c r="H39" s="9" t="s">
        <v>150</v>
      </c>
      <c r="I39" s="9" t="s">
        <v>175</v>
      </c>
      <c r="J39" s="9" t="s">
        <v>27</v>
      </c>
      <c r="K39" s="9" t="s">
        <v>0</v>
      </c>
    </row>
    <row r="40" spans="1:11" x14ac:dyDescent="0.25">
      <c r="A40" s="8">
        <f>ROW()-6</f>
      </c>
      <c r="B40" s="9">
        <v>1</v>
      </c>
      <c r="C40" s="9" t="s">
        <v>176</v>
      </c>
      <c r="D40" s="9" t="s">
        <v>177</v>
      </c>
      <c r="E40" s="9" t="s">
        <v>178</v>
      </c>
      <c r="F40" s="9" t="s">
        <v>0</v>
      </c>
      <c r="G40" s="9" t="s">
        <v>176</v>
      </c>
      <c r="H40" s="9" t="s">
        <v>179</v>
      </c>
      <c r="I40" s="9" t="s">
        <v>180</v>
      </c>
      <c r="J40" s="9" t="s">
        <v>27</v>
      </c>
      <c r="K40" s="9" t="s">
        <v>0</v>
      </c>
    </row>
    <row r="41" spans="1:11" x14ac:dyDescent="0.25">
      <c r="A41" s="8">
        <f>ROW()-6</f>
      </c>
      <c r="B41" s="9">
        <v>1</v>
      </c>
      <c r="C41" s="9" t="s">
        <v>181</v>
      </c>
      <c r="D41" s="9" t="s">
        <v>182</v>
      </c>
      <c r="E41" s="9" t="s">
        <v>183</v>
      </c>
      <c r="F41" s="9" t="s">
        <v>0</v>
      </c>
      <c r="G41" s="9" t="s">
        <v>181</v>
      </c>
      <c r="H41" s="9" t="s">
        <v>184</v>
      </c>
      <c r="I41" s="9" t="s">
        <v>185</v>
      </c>
      <c r="J41" s="9" t="s">
        <v>27</v>
      </c>
      <c r="K41" s="9" t="s">
        <v>0</v>
      </c>
    </row>
    <row r="42" spans="1:11" x14ac:dyDescent="0.25">
      <c r="A42" s="8">
        <f>ROW()-6</f>
      </c>
      <c r="B42" s="9">
        <v>1</v>
      </c>
      <c r="C42" s="9" t="s">
        <v>186</v>
      </c>
      <c r="D42" s="9" t="s">
        <v>187</v>
      </c>
      <c r="E42" s="9" t="s">
        <v>188</v>
      </c>
      <c r="F42" s="9" t="s">
        <v>0</v>
      </c>
      <c r="G42" s="9" t="s">
        <v>186</v>
      </c>
      <c r="H42" s="9" t="s">
        <v>189</v>
      </c>
      <c r="I42" s="9" t="s">
        <v>190</v>
      </c>
      <c r="J42" s="9" t="s">
        <v>27</v>
      </c>
      <c r="K42" s="9" t="s">
        <v>0</v>
      </c>
    </row>
    <row r="43" spans="1:11" x14ac:dyDescent="0.25">
      <c r="A43" s="8">
        <f>ROW()-6</f>
      </c>
      <c r="B43" s="9">
        <v>1</v>
      </c>
      <c r="C43" s="9" t="s">
        <v>191</v>
      </c>
      <c r="D43" s="9" t="s">
        <v>192</v>
      </c>
      <c r="E43" s="9" t="s">
        <v>193</v>
      </c>
      <c r="F43" s="9" t="s">
        <v>191</v>
      </c>
      <c r="G43" s="9" t="s">
        <v>194</v>
      </c>
      <c r="H43" s="9" t="s">
        <v>195</v>
      </c>
      <c r="I43" s="9" t="s">
        <v>196</v>
      </c>
      <c r="J43" s="9" t="s">
        <v>27</v>
      </c>
      <c r="K43" s="9" t="s">
        <v>0</v>
      </c>
    </row>
    <row r="44" spans="1:11" x14ac:dyDescent="0.25">
      <c r="A44" s="8">
        <f>ROW()-6</f>
      </c>
      <c r="B44" s="9">
        <v>1</v>
      </c>
      <c r="C44" s="9" t="s">
        <v>197</v>
      </c>
      <c r="D44" s="9" t="s">
        <v>198</v>
      </c>
      <c r="E44" s="9" t="s">
        <v>199</v>
      </c>
      <c r="F44" s="9" t="s">
        <v>0</v>
      </c>
      <c r="G44" s="9" t="s">
        <v>197</v>
      </c>
      <c r="H44" s="9" t="s">
        <v>200</v>
      </c>
      <c r="I44" s="9" t="s">
        <v>201</v>
      </c>
      <c r="J44" s="9" t="s">
        <v>27</v>
      </c>
      <c r="K44" s="9" t="s">
        <v>0</v>
      </c>
    </row>
    <row r="45" spans="1:11" x14ac:dyDescent="0.25">
      <c r="A45" s="8">
        <f>ROW()-6</f>
      </c>
      <c r="B45" s="9">
        <v>1</v>
      </c>
      <c r="C45" s="9" t="s">
        <v>202</v>
      </c>
      <c r="D45" s="9" t="s">
        <v>203</v>
      </c>
      <c r="E45" s="9" t="s">
        <v>204</v>
      </c>
      <c r="F45" s="9" t="s">
        <v>0</v>
      </c>
      <c r="G45" s="9" t="s">
        <v>202</v>
      </c>
      <c r="H45" s="9" t="s">
        <v>205</v>
      </c>
      <c r="I45" s="9" t="s">
        <v>206</v>
      </c>
      <c r="J45" s="9" t="s">
        <v>27</v>
      </c>
      <c r="K45" s="9" t="s">
        <v>0</v>
      </c>
    </row>
    <row r="46" spans="1:11" x14ac:dyDescent="0.25">
      <c r="A46" s="8">
        <f>ROW()-6</f>
      </c>
      <c r="B46" s="9">
        <v>2</v>
      </c>
      <c r="C46" s="9" t="s">
        <v>207</v>
      </c>
      <c r="D46" s="9" t="s">
        <v>208</v>
      </c>
      <c r="E46" s="9" t="s">
        <v>209</v>
      </c>
      <c r="F46" s="9" t="s">
        <v>0</v>
      </c>
      <c r="G46" s="9" t="s">
        <v>207</v>
      </c>
      <c r="H46" s="9" t="s">
        <v>184</v>
      </c>
      <c r="I46" s="9" t="s">
        <v>210</v>
      </c>
      <c r="J46" s="9" t="s">
        <v>27</v>
      </c>
      <c r="K46" s="9" t="s">
        <v>0</v>
      </c>
    </row>
    <row r="47" spans="1:11" x14ac:dyDescent="0.25">
      <c r="A47" s="8">
        <f>ROW()-6</f>
      </c>
      <c r="B47" s="9">
        <v>1</v>
      </c>
      <c r="C47" s="9" t="s">
        <v>211</v>
      </c>
      <c r="D47" s="9" t="s">
        <v>212</v>
      </c>
      <c r="E47" s="9" t="s">
        <v>213</v>
      </c>
      <c r="F47" s="9" t="s">
        <v>0</v>
      </c>
      <c r="G47" s="9" t="s">
        <v>211</v>
      </c>
      <c r="H47" s="9" t="s">
        <v>214</v>
      </c>
      <c r="I47" s="9" t="s">
        <v>215</v>
      </c>
      <c r="J47" s="9" t="s">
        <v>27</v>
      </c>
      <c r="K47" s="9" t="s">
        <v>0</v>
      </c>
    </row>
    <row r="48" spans="1:11" x14ac:dyDescent="0.25">
      <c r="A48" s="8">
        <f>ROW()-6</f>
      </c>
      <c r="B48" s="9">
        <v>4</v>
      </c>
      <c r="C48" s="9" t="s">
        <v>216</v>
      </c>
      <c r="D48" s="9" t="s">
        <v>217</v>
      </c>
      <c r="E48" s="9" t="s">
        <v>218</v>
      </c>
      <c r="F48" s="9" t="s">
        <v>0</v>
      </c>
      <c r="G48" s="9" t="s">
        <v>216</v>
      </c>
      <c r="H48" s="9" t="s">
        <v>219</v>
      </c>
      <c r="I48" s="9" t="s">
        <v>220</v>
      </c>
      <c r="J48" s="9" t="s">
        <v>27</v>
      </c>
      <c r="K48" s="9" t="s">
        <v>0</v>
      </c>
    </row>
    <row r="49" spans="1:11" x14ac:dyDescent="0.25">
      <c r="A49" s="8">
        <f>ROW()-6</f>
      </c>
      <c r="B49" s="9">
        <v>20</v>
      </c>
      <c r="C49" s="9" t="s">
        <v>221</v>
      </c>
      <c r="D49" s="9" t="s">
        <v>222</v>
      </c>
      <c r="E49" s="9" t="s">
        <v>223</v>
      </c>
      <c r="F49" s="9" t="s">
        <v>0</v>
      </c>
      <c r="G49" s="9" t="s">
        <v>221</v>
      </c>
      <c r="H49" s="9" t="s">
        <v>224</v>
      </c>
      <c r="I49" s="9" t="s">
        <v>225</v>
      </c>
      <c r="J49" s="9" t="s">
        <v>27</v>
      </c>
      <c r="K49" s="9" t="s">
        <v>0</v>
      </c>
    </row>
    <row r="50" spans="1:11" x14ac:dyDescent="0.25">
      <c r="A50" s="8">
        <f>ROW()-6</f>
      </c>
      <c r="B50" s="9">
        <v>20</v>
      </c>
      <c r="C50" s="9" t="s">
        <v>226</v>
      </c>
      <c r="D50" s="9" t="s">
        <v>227</v>
      </c>
      <c r="E50" s="9" t="s">
        <v>228</v>
      </c>
      <c r="F50" s="9" t="s">
        <v>0</v>
      </c>
      <c r="G50" s="9" t="s">
        <v>226</v>
      </c>
      <c r="H50" s="9" t="s">
        <v>74</v>
      </c>
      <c r="I50" s="9" t="s">
        <v>229</v>
      </c>
      <c r="J50" s="9" t="s">
        <v>27</v>
      </c>
      <c r="K50" s="9" t="s">
        <v>0</v>
      </c>
    </row>
    <row r="51" spans="1:11" x14ac:dyDescent="0.25">
      <c r="A51" s="8">
        <f>ROW()-6</f>
      </c>
      <c r="B51" s="9">
        <v>1</v>
      </c>
      <c r="C51" s="9" t="s">
        <v>230</v>
      </c>
      <c r="D51" s="9" t="s">
        <v>231</v>
      </c>
      <c r="E51" s="9" t="s">
        <v>232</v>
      </c>
      <c r="F51" s="9" t="s">
        <v>0</v>
      </c>
      <c r="G51" s="9" t="s">
        <v>230</v>
      </c>
      <c r="H51" s="9" t="s">
        <v>233</v>
      </c>
      <c r="I51" s="9" t="s">
        <v>234</v>
      </c>
      <c r="J51" s="9" t="s">
        <v>27</v>
      </c>
      <c r="K51" s="9" t="s">
        <v>0</v>
      </c>
    </row>
    <row r="52" spans="1:11" x14ac:dyDescent="0.25">
      <c r="A52" s="8">
        <f>ROW()-6</f>
      </c>
      <c r="B52" s="9">
        <v>1</v>
      </c>
      <c r="C52" s="9" t="s">
        <v>235</v>
      </c>
      <c r="D52" s="9" t="s">
        <v>236</v>
      </c>
      <c r="E52" s="9" t="s">
        <v>237</v>
      </c>
      <c r="F52" s="9" t="s">
        <v>0</v>
      </c>
      <c r="G52" s="9" t="s">
        <v>235</v>
      </c>
      <c r="H52" s="9" t="s">
        <v>238</v>
      </c>
      <c r="I52" s="9" t="s">
        <v>239</v>
      </c>
      <c r="J52" s="9" t="s">
        <v>27</v>
      </c>
      <c r="K52" s="9" t="s">
        <v>0</v>
      </c>
    </row>
    <row r="53" spans="1:11" x14ac:dyDescent="0.25">
      <c r="A53" s="8">
        <f>ROW()-6</f>
      </c>
      <c r="B53" s="9">
        <v>1</v>
      </c>
      <c r="C53" s="9" t="s">
        <v>240</v>
      </c>
      <c r="D53" s="9" t="s">
        <v>241</v>
      </c>
      <c r="E53" s="9" t="s">
        <v>242</v>
      </c>
      <c r="F53" s="9" t="s">
        <v>0</v>
      </c>
      <c r="G53" s="9" t="s">
        <v>240</v>
      </c>
      <c r="H53" s="9" t="s">
        <v>243</v>
      </c>
      <c r="I53" s="9" t="s">
        <v>244</v>
      </c>
      <c r="J53" s="9" t="s">
        <v>27</v>
      </c>
      <c r="K53" s="9" t="s">
        <v>0</v>
      </c>
    </row>
    <row r="54" spans="1:11" x14ac:dyDescent="0.25">
      <c r="A54" s="8">
        <f>ROW()-6</f>
      </c>
      <c r="B54" s="9">
        <v>4</v>
      </c>
      <c r="C54" s="9" t="s">
        <v>245</v>
      </c>
      <c r="D54" s="9" t="s">
        <v>246</v>
      </c>
      <c r="E54" s="9" t="s">
        <v>247</v>
      </c>
      <c r="F54" s="9" t="s">
        <v>0</v>
      </c>
      <c r="G54" s="9" t="s">
        <v>245</v>
      </c>
      <c r="H54" s="9" t="s">
        <v>248</v>
      </c>
      <c r="I54" s="9" t="s">
        <v>249</v>
      </c>
      <c r="J54" s="9" t="s">
        <v>27</v>
      </c>
      <c r="K54" s="9" t="s">
        <v>0</v>
      </c>
    </row>
    <row r="55" spans="1:11" x14ac:dyDescent="0.25">
      <c r="A55" s="8">
        <f>ROW()-6</f>
      </c>
      <c r="B55" s="9">
        <v>1</v>
      </c>
      <c r="C55" s="9" t="s">
        <v>250</v>
      </c>
      <c r="D55" s="9" t="s">
        <v>251</v>
      </c>
      <c r="E55" s="9" t="s">
        <v>252</v>
      </c>
      <c r="F55" s="9" t="s">
        <v>0</v>
      </c>
      <c r="G55" s="9" t="s">
        <v>250</v>
      </c>
      <c r="H55" s="9" t="s">
        <v>184</v>
      </c>
      <c r="I55" s="9" t="s">
        <v>253</v>
      </c>
      <c r="J55" s="9" t="s">
        <v>27</v>
      </c>
      <c r="K55" s="9" t="s">
        <v>0</v>
      </c>
    </row>
    <row r="56" spans="1:11" x14ac:dyDescent="0.25">
      <c r="A56" s="8">
        <f>ROW()-6</f>
      </c>
      <c r="B56" s="9">
        <v>1</v>
      </c>
      <c r="C56" s="9" t="s">
        <v>254</v>
      </c>
      <c r="D56" s="9" t="s">
        <v>255</v>
      </c>
      <c r="E56" s="9" t="s">
        <v>256</v>
      </c>
      <c r="F56" s="9" t="s">
        <v>0</v>
      </c>
      <c r="G56" s="9" t="s">
        <v>254</v>
      </c>
      <c r="H56" s="9" t="s">
        <v>257</v>
      </c>
      <c r="I56" s="9" t="s">
        <v>258</v>
      </c>
      <c r="J56" s="9" t="s">
        <v>27</v>
      </c>
      <c r="K56" s="9" t="s">
        <v>0</v>
      </c>
    </row>
    <row r="57" spans="1:11" x14ac:dyDescent="0.25">
      <c r="A57" s="8">
        <f>ROW()-6</f>
      </c>
      <c r="B57" s="9">
        <v>2</v>
      </c>
      <c r="C57" s="9" t="s">
        <v>259</v>
      </c>
      <c r="D57" s="9" t="s">
        <v>260</v>
      </c>
      <c r="E57" s="9" t="s">
        <v>261</v>
      </c>
      <c r="F57" s="9" t="s">
        <v>259</v>
      </c>
      <c r="G57" s="9" t="s">
        <v>262</v>
      </c>
      <c r="H57" s="9" t="s">
        <v>263</v>
      </c>
      <c r="I57" s="9" t="s">
        <v>264</v>
      </c>
      <c r="J57" s="9" t="s">
        <v>27</v>
      </c>
      <c r="K57" s="9" t="s">
        <v>0</v>
      </c>
    </row>
    <row r="58" spans="1:11" x14ac:dyDescent="0.25">
      <c r="A58" s="8">
        <f>ROW()-6</f>
      </c>
      <c r="B58" s="9">
        <v>1</v>
      </c>
      <c r="C58" s="9" t="s">
        <v>265</v>
      </c>
      <c r="D58" s="9" t="s">
        <v>266</v>
      </c>
      <c r="E58" s="9" t="s">
        <v>261</v>
      </c>
      <c r="F58" s="9" t="s">
        <v>265</v>
      </c>
      <c r="G58" s="9" t="s">
        <v>267</v>
      </c>
      <c r="H58" s="9" t="s">
        <v>263</v>
      </c>
      <c r="I58" s="9" t="s">
        <v>268</v>
      </c>
      <c r="J58" s="9" t="s">
        <v>27</v>
      </c>
      <c r="K58" s="9" t="s">
        <v>0</v>
      </c>
    </row>
    <row r="59" spans="1:12" x14ac:dyDescent="0.25">
      <c r="A59" s="8">
        <f>ROW()-6</f>
      </c>
      <c r="B59" s="10">
        <f>SUM(L7:L58)</f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</sheetData>
  <mergeCells count="4">
    <mergeCell ref="A1:D5"/>
    <mergeCell ref="E1:E2"/>
    <mergeCell ref="F1:F2"/>
    <mergeCell ref="B59:L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269</v>
      </c>
      <c r="B1" s="6" t="s">
        <v>4</v>
      </c>
    </row>
    <row r="2" spans="1:2" x14ac:dyDescent="0.25">
      <c r="A2" s="6" t="s">
        <v>270</v>
      </c>
      <c r="B2" s="6" t="s">
        <v>271</v>
      </c>
    </row>
    <row r="3" spans="1:2" x14ac:dyDescent="0.25">
      <c r="A3" s="6" t="s">
        <v>272</v>
      </c>
      <c r="B3" s="6" t="s">
        <v>271</v>
      </c>
    </row>
    <row r="4" spans="1:2" x14ac:dyDescent="0.25">
      <c r="A4" s="6" t="s">
        <v>273</v>
      </c>
      <c r="B4" s="6" t="s">
        <v>271</v>
      </c>
    </row>
    <row r="5" spans="1:2" x14ac:dyDescent="0.25">
      <c r="A5" s="6" t="s">
        <v>274</v>
      </c>
      <c r="B5" s="6" t="s">
        <v>6</v>
      </c>
    </row>
    <row r="6" spans="1:2" x14ac:dyDescent="0.25">
      <c r="A6" s="6" t="s">
        <v>275</v>
      </c>
      <c r="B6" s="6">
        <v>865</v>
      </c>
    </row>
    <row r="7" spans="1:2" x14ac:dyDescent="0.25">
      <c r="A7" s="6" t="s">
        <v>276</v>
      </c>
      <c r="B7" s="6" t="s">
        <v>277</v>
      </c>
    </row>
    <row r="8" spans="1:2" x14ac:dyDescent="0.25">
      <c r="A8" s="6" t="s">
        <v>278</v>
      </c>
      <c r="B8" s="6" t="s">
        <v>279</v>
      </c>
    </row>
    <row r="9" spans="1:2" x14ac:dyDescent="0.25">
      <c r="A9" s="6" t="s">
        <v>280</v>
      </c>
      <c r="B9" s="6" t="s">
        <v>8</v>
      </c>
    </row>
    <row r="10" spans="1:2" x14ac:dyDescent="0.25">
      <c r="A10" s="6" t="s">
        <v>281</v>
      </c>
      <c r="B10" s="6" t="s">
        <v>2</v>
      </c>
    </row>
    <row r="11" spans="1:2" x14ac:dyDescent="0.25">
      <c r="A11" s="6" t="s">
        <v>282</v>
      </c>
      <c r="B11" s="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2026-09-08T05:11:36Z</dcterms:modified>
</cp:coreProperties>
</file>